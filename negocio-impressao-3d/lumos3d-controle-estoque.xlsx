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téria-prima" sheetId="1" state="visible" r:id="rId3"/>
    <sheet name="Produtos pronto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<sst xmlns="http://schemas.openxmlformats.org/spreadsheetml/2006/main" count="32" uniqueCount="29">
  <si>
    <t xml:space="preserve">Lumos 3D — Estoque de Matéria-prima</t>
  </si>
  <si>
    <t xml:space="preserve">Preencha uma linha por tipo/cor de material. O Status é calculado automaticamente comparando a quantidade com o ponto de reposição.</t>
  </si>
  <si>
    <t xml:space="preserve">Tipo de filamento/resina</t>
  </si>
  <si>
    <t xml:space="preserve">Cor</t>
  </si>
  <si>
    <t xml:space="preserve">Quantidade (g ou ml)</t>
  </si>
  <si>
    <t xml:space="preserve">Custo por kg/litro</t>
  </si>
  <si>
    <t xml:space="preserve">Ponto de reposição (g ou ml)</t>
  </si>
  <si>
    <t xml:space="preserve">Status</t>
  </si>
  <si>
    <t xml:space="preserve">PLA</t>
  </si>
  <si>
    <t xml:space="preserve">Branco</t>
  </si>
  <si>
    <t xml:space="preserve">Preto</t>
  </si>
  <si>
    <t xml:space="preserve">Dourado</t>
  </si>
  <si>
    <t xml:space="preserve">PETG</t>
  </si>
  <si>
    <t xml:space="preserve">Transparente</t>
  </si>
  <si>
    <t xml:space="preserve">Cinza</t>
  </si>
  <si>
    <t xml:space="preserve">Lumos 3D — Estoque de Produtos Prontos</t>
  </si>
  <si>
    <t xml:space="preserve">Preencha uma linha por produto. Margem e Valor total em estoque são calculados automaticamente.</t>
  </si>
  <si>
    <t xml:space="preserve">Nome</t>
  </si>
  <si>
    <t xml:space="preserve">Quantidade disponível</t>
  </si>
  <si>
    <t xml:space="preserve">Custo de produção</t>
  </si>
  <si>
    <t xml:space="preserve">Preço de venda</t>
  </si>
  <si>
    <t xml:space="preserve">Margem</t>
  </si>
  <si>
    <t xml:space="preserve">Valor total em estoque (custo)</t>
  </si>
  <si>
    <t xml:space="preserve">Chaveiro personalizado (unidade)</t>
  </si>
  <si>
    <t xml:space="preserve">Kit brinde corporativo (50 un)</t>
  </si>
  <si>
    <t xml:space="preserve">Luminária com nome</t>
  </si>
  <si>
    <t xml:space="preserve">Porta retrato personalizado</t>
  </si>
  <si>
    <t xml:space="preserve">Troféu personalizado (10 un)</t>
  </si>
  <si>
    <t xml:space="preserve">Total em estoque (custo)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</si>
</sst>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&quot; g&quot;"/>
    <numFmt numFmtId="166" formatCode="&quot;R$ &quot;#,##0.00"/>
    <numFmt numFmtId="167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D1B4E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D1B4E"/>
        <bgColor rgb="FF3333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D1B4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3" min="3" style="0" width="20"/>
    <col collapsed="false" customWidth="true" hidden="false" outlineLevel="0" max="4" min="4" style="0" width="18"/>
    <col collapsed="false" customWidth="true" hidden="false" outlineLevel="0" max="5" min="5" style="0" width="26"/>
    <col collapsed="false" customWidth="true" hidden="false" outlineLevel="0" max="6" min="6" style="0" width="12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5" hidden="false" customHeight="false" outlineLevel="0" collapsed="false">
      <c r="A5" s="4" t="s">
        <v>8</v>
      </c>
      <c r="B5" s="4" t="s">
        <v>9</v>
      </c>
      <c r="C5" s="5" t="n">
        <v>2500</v>
      </c>
      <c r="D5" s="6" t="n">
        <v>89.9</v>
      </c>
      <c r="E5" s="5" t="n">
        <v>500</v>
      </c>
      <c r="F5" s="7" t="str">
        <f aca="false">IF(C5&lt;=E5,"Repor","OK")</f>
        <v>OK</v>
      </c>
    </row>
    <row r="6" customFormat="false" ht="15" hidden="false" customHeight="false" outlineLevel="0" collapsed="false">
      <c r="A6" s="4" t="s">
        <v>8</v>
      </c>
      <c r="B6" s="4" t="s">
        <v>10</v>
      </c>
      <c r="C6" s="5" t="n">
        <v>1800</v>
      </c>
      <c r="D6" s="6" t="n">
        <v>89.9</v>
      </c>
      <c r="E6" s="5" t="n">
        <v>500</v>
      </c>
      <c r="F6" s="7" t="str">
        <f aca="false">IF(C6&lt;=E6,"Repor","OK")</f>
        <v>OK</v>
      </c>
    </row>
    <row r="7" customFormat="false" ht="15" hidden="false" customHeight="false" outlineLevel="0" collapsed="false">
      <c r="A7" s="4" t="s">
        <v>8</v>
      </c>
      <c r="B7" s="4" t="s">
        <v>11</v>
      </c>
      <c r="C7" s="5" t="n">
        <v>600</v>
      </c>
      <c r="D7" s="6" t="n">
        <v>99.9</v>
      </c>
      <c r="E7" s="5" t="n">
        <v>300</v>
      </c>
      <c r="F7" s="7" t="str">
        <f aca="false">IF(C7&lt;=E7,"Repor","OK")</f>
        <v>OK</v>
      </c>
    </row>
    <row r="8" customFormat="false" ht="15" hidden="false" customHeight="false" outlineLevel="0" collapsed="false">
      <c r="A8" s="4" t="s">
        <v>12</v>
      </c>
      <c r="B8" s="4" t="s">
        <v>13</v>
      </c>
      <c r="C8" s="5" t="n">
        <v>1200</v>
      </c>
      <c r="D8" s="6" t="n">
        <v>109.9</v>
      </c>
      <c r="E8" s="5" t="n">
        <v>400</v>
      </c>
      <c r="F8" s="7" t="str">
        <f aca="false">IF(C8&lt;=E8,"Repor","OK")</f>
        <v>OK</v>
      </c>
    </row>
    <row r="9" customFormat="false" ht="15" hidden="false" customHeight="false" outlineLevel="0" collapsed="false">
      <c r="A9" s="4" t="s">
        <v>12</v>
      </c>
      <c r="B9" s="4" t="s">
        <v>14</v>
      </c>
      <c r="C9" s="5" t="n">
        <v>300</v>
      </c>
      <c r="D9" s="6" t="n">
        <v>109.9</v>
      </c>
      <c r="E9" s="5" t="n">
        <v>400</v>
      </c>
      <c r="F9" s="7" t="str">
        <f aca="false">IF(C9&lt;=E9,"Repor","OK")</f>
        <v>Repor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0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26"/>
  </cols>
  <sheetData>
    <row r="1" customFormat="false" ht="17.35" hidden="false" customHeight="false" outlineLevel="0" collapsed="false">
      <c r="A1" s="1" t="s">
        <v>15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16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17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</row>
    <row r="5" customFormat="false" ht="15" hidden="false" customHeight="false" outlineLevel="0" collapsed="false">
      <c r="A5" s="4" t="s">
        <v>23</v>
      </c>
      <c r="B5" s="4" t="n">
        <v>40</v>
      </c>
      <c r="C5" s="6" t="n">
        <v>8</v>
      </c>
      <c r="D5" s="6" t="n">
        <v>25</v>
      </c>
      <c r="E5" s="8" t="n">
        <f aca="false">IFERROR((D5-C5)/D5,0)</f>
        <v>0.68</v>
      </c>
      <c r="F5" s="9" t="n">
        <f aca="false">B5*C5</f>
        <v>320</v>
      </c>
    </row>
    <row r="6" customFormat="false" ht="15" hidden="false" customHeight="false" outlineLevel="0" collapsed="false">
      <c r="A6" s="4" t="s">
        <v>24</v>
      </c>
      <c r="B6" s="4" t="n">
        <v>3</v>
      </c>
      <c r="C6" s="6" t="n">
        <v>620</v>
      </c>
      <c r="D6" s="6" t="n">
        <v>950</v>
      </c>
      <c r="E6" s="8" t="n">
        <f aca="false">IFERROR((D6-C6)/D6,0)</f>
        <v>0.347368421052632</v>
      </c>
      <c r="F6" s="9" t="n">
        <f aca="false">B6*C6</f>
        <v>1860</v>
      </c>
    </row>
    <row r="7" customFormat="false" ht="15" hidden="false" customHeight="false" outlineLevel="0" collapsed="false">
      <c r="A7" s="4" t="s">
        <v>25</v>
      </c>
      <c r="B7" s="4" t="n">
        <v>12</v>
      </c>
      <c r="C7" s="6" t="n">
        <v>32</v>
      </c>
      <c r="D7" s="6" t="n">
        <v>89.9</v>
      </c>
      <c r="E7" s="8" t="n">
        <f aca="false">IFERROR((D7-C7)/D7,0)</f>
        <v>0.6440489432703</v>
      </c>
      <c r="F7" s="9" t="n">
        <f aca="false">B7*C7</f>
        <v>384</v>
      </c>
    </row>
    <row r="8" customFormat="false" ht="15" hidden="false" customHeight="false" outlineLevel="0" collapsed="false">
      <c r="A8" s="4" t="s">
        <v>26</v>
      </c>
      <c r="B8" s="4" t="n">
        <v>20</v>
      </c>
      <c r="C8" s="6" t="n">
        <v>15</v>
      </c>
      <c r="D8" s="6" t="n">
        <v>45</v>
      </c>
      <c r="E8" s="8" t="n">
        <f aca="false">IFERROR((D8-C8)/D8,0)</f>
        <v>0.666666666666667</v>
      </c>
      <c r="F8" s="9" t="n">
        <f aca="false">B8*C8</f>
        <v>300</v>
      </c>
    </row>
    <row r="9" customFormat="false" ht="15" hidden="false" customHeight="false" outlineLevel="0" collapsed="false">
      <c r="A9" s="4" t="s">
        <v>27</v>
      </c>
      <c r="B9" s="4" t="n">
        <v>2</v>
      </c>
      <c r="C9" s="6" t="n">
        <v>210</v>
      </c>
      <c r="D9" s="6" t="n">
        <v>320</v>
      </c>
      <c r="E9" s="8" t="n">
        <f aca="false">IFERROR((D9-C9)/D9,0)</f>
        <v>0.34375</v>
      </c>
      <c r="F9" s="9" t="n">
        <f aca="false">B9*C9</f>
        <v>420</v>
      </c>
    </row>
    <row r="11" customFormat="false" ht="15" hidden="false" customHeight="false" outlineLevel="0" collapsed="false">
      <c r="A11" s="10" t="s">
        <v>28</v>
      </c>
      <c r="F11" s="11" t="n">
        <f aca="false">SUM(F5:F9)</f>
        <v>3284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2026-08-17T19:43:42Z</dcterms:created>
  <dc:creator>openpyxl</dc:creator>
  <dc:description/>
  <dc:language>en-US</dc:language>
  <cp:lastModifiedBy/>
  <dcterms:modified xsi:type="dcterms:W3CDTF">2026-08-17T19:43:42Z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