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Exemplos aplic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<sst xmlns="http://schemas.openxmlformats.org/spreadsheetml/2006/main" count="44" uniqueCount="43">
  <si>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Lumos 3D — Calculadora de Custo por Peça</t>
  </si>
  <si>
    <t xml:space="preserve">Preencha os campos em azul com os dados da peça. Os resultados em preto são calculados automaticamente.</t>
  </si>
  <si>
    <t xml:space="preserve">Dados de entrada</t>
  </si>
  <si>
    <t xml:space="preserve">Peso da peça (g)</t>
  </si>
  <si>
    <t xml:space="preserve">Preço do filamento por kg (R$)</t>
  </si>
  <si>
    <t xml:space="preserve">Tempo de impressão (horas)</t>
  </si>
  <si>
    <t xml:space="preserve">Potência da impressora (kW)</t>
  </si>
  <si>
    <t xml:space="preserve">Custo do kWh (R$)</t>
  </si>
  <si>
    <t xml:space="preserve">Valor do equipamento (R$)</t>
  </si>
  <si>
    <t xml:space="preserve">Vida útil estimada do equipamento (horas de uso)</t>
  </si>
  <si>
    <t xml:space="preserve">Mão de obra e acabamento por peça (R$)</t>
  </si>
  <si>
    <t xml:space="preserve">Margem de lucro desejada (%)</t>
  </si>
  <si>
    <t xml:space="preserve">Preço de mercado para comparação (R$)</t>
  </si>
  <si>
    <t xml:space="preserve">Resultado do cálculo</t>
  </si>
  <si>
    <t xml:space="preserve">Custo de material (peso x preço/kg)</t>
  </si>
  <si>
    <t xml:space="preserve">Custo de energia (tempo x potência x custo do kWh)</t>
  </si>
  <si>
    <t xml:space="preserve">Depreciação do equipamento (valor/vida útil x tempo)</t>
  </si>
  <si>
    <t xml:space="preserve">Mão de obra e acabamento</t>
  </si>
  <si>
    <t xml:space="preserve">Custo total por peça</t>
  </si>
  <si>
    <t xml:space="preserve">Preço sugerido (custo ÷ (1 − margem desejada))</t>
  </si>
  <si>
    <t xml:space="preserve">Diferença vs. preço de mercado</t>
  </si>
  <si>
    <t xml:space="preserve">Situação</t>
  </si>
  <si>
    <t xml:space="preserve">Lumos 3D — Exemplos Aplicados aos Produtos do Catálogo</t>
  </si>
  <si>
    <t xml:space="preserve">Mesma lógica da Calculadora, aplicada aos produtos já cadastrados nas planilhas de estoque e vendas. Células em azul são premissas de cada produto, o restante é calculado.</t>
  </si>
  <si>
    <t xml:space="preserve">Premissas fixas usadas nos exemplos: impressora de R$ 1.800,00 com vida útil de 5.000 horas, consumo médio de 0,15 kW e custo de energia de R$ 0,75 por kWh (referência de tarifa residencial média).</t>
  </si>
  <si>
    <t xml:space="preserve">Produto</t>
  </si>
  <si>
    <t xml:space="preserve">Peso (g)</t>
  </si>
  <si>
    <t xml:space="preserve">Filamento (R$/kg)</t>
  </si>
  <si>
    <t xml:space="preserve">Tempo (h)</t>
  </si>
  <si>
    <t xml:space="preserve">Custo material</t>
  </si>
  <si>
    <t xml:space="preserve">Custo energia</t>
  </si>
  <si>
    <t xml:space="preserve">Depreciação</t>
  </si>
  <si>
    <t xml:space="preserve">Mão de obra</t>
  </si>
  <si>
    <t xml:space="preserve">Custo total</t>
  </si>
  <si>
    <t xml:space="preserve">Margem desejada</t>
  </si>
  <si>
    <t xml:space="preserve">Preço sugerido</t>
  </si>
  <si>
    <t xml:space="preserve">Preço praticado</t>
  </si>
  <si>
    <t xml:space="preserve">Diferença</t>
  </si>
  <si>
    <t xml:space="preserve">Chaveiro personalizado (unidade)</t>
  </si>
  <si>
    <t xml:space="preserve">Kit brinde corporativo (50 un)</t>
  </si>
  <si>
    <t xml:space="preserve">Luminária com nome</t>
  </si>
  <si>
    <t xml:space="preserve">Porta retrato personalizado</t>
  </si>
  <si>
    <t xml:space="preserve">Troféu personalizado (10 un)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</si>
</sst>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R$ &quot;#,##0.00"/>
    <numFmt numFmtId="167" formatCode="0.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1B4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D1B4E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1B4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1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4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60</v>
      </c>
    </row>
    <row r="6" customFormat="false" ht="15" hidden="false" customHeight="false" outlineLevel="0" collapsed="false">
      <c r="A6" s="4" t="s">
        <v>4</v>
      </c>
      <c r="B6" s="6" t="n">
        <v>89.9</v>
      </c>
    </row>
    <row r="7" customFormat="false" ht="15" hidden="false" customHeight="false" outlineLevel="0" collapsed="false">
      <c r="A7" s="4" t="s">
        <v>5</v>
      </c>
      <c r="B7" s="7" t="n">
        <v>1.5</v>
      </c>
    </row>
    <row r="8" customFormat="false" ht="15" hidden="false" customHeight="false" outlineLevel="0" collapsed="false">
      <c r="A8" s="4" t="s">
        <v>6</v>
      </c>
      <c r="B8" s="7" t="n">
        <v>0.15</v>
      </c>
    </row>
    <row r="9" customFormat="false" ht="15" hidden="false" customHeight="false" outlineLevel="0" collapsed="false">
      <c r="A9" s="4" t="s">
        <v>7</v>
      </c>
      <c r="B9" s="6" t="n">
        <v>0.75</v>
      </c>
    </row>
    <row r="10" customFormat="false" ht="15" hidden="false" customHeight="false" outlineLevel="0" collapsed="false">
      <c r="A10" s="4" t="s">
        <v>8</v>
      </c>
      <c r="B10" s="6" t="n">
        <v>1800</v>
      </c>
    </row>
    <row r="11" customFormat="false" ht="15" hidden="false" customHeight="false" outlineLevel="0" collapsed="false">
      <c r="A11" s="4" t="s">
        <v>9</v>
      </c>
      <c r="B11" s="5" t="n">
        <v>5000</v>
      </c>
    </row>
    <row r="12" customFormat="false" ht="15" hidden="false" customHeight="false" outlineLevel="0" collapsed="false">
      <c r="A12" s="4" t="s">
        <v>10</v>
      </c>
      <c r="B12" s="6" t="n">
        <v>5</v>
      </c>
    </row>
    <row r="13" customFormat="false" ht="15" hidden="false" customHeight="false" outlineLevel="0" collapsed="false">
      <c r="A13" s="4" t="s">
        <v>11</v>
      </c>
      <c r="B13" s="8" t="n">
        <v>0.4</v>
      </c>
    </row>
    <row r="14" customFormat="false" ht="15" hidden="false" customHeight="false" outlineLevel="0" collapsed="false">
      <c r="A14" s="4" t="s">
        <v>12</v>
      </c>
      <c r="B14" s="6" t="n">
        <v>45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4" t="s">
        <v>14</v>
      </c>
      <c r="B17" s="9" t="n">
        <f aca="false">B5/1000*B6</f>
        <v>5.394</v>
      </c>
    </row>
    <row r="18" customFormat="false" ht="15" hidden="false" customHeight="false" outlineLevel="0" collapsed="false">
      <c r="A18" s="4" t="s">
        <v>15</v>
      </c>
      <c r="B18" s="9" t="n">
        <f aca="false">B7*B8*B9</f>
        <v>0.16875</v>
      </c>
    </row>
    <row r="19" customFormat="false" ht="15" hidden="false" customHeight="false" outlineLevel="0" collapsed="false">
      <c r="A19" s="4" t="s">
        <v>16</v>
      </c>
      <c r="B19" s="9" t="n">
        <f aca="false">(B10/B11)*B7</f>
        <v>0.54</v>
      </c>
    </row>
    <row r="20" customFormat="false" ht="15" hidden="false" customHeight="false" outlineLevel="0" collapsed="false">
      <c r="A20" s="4" t="s">
        <v>17</v>
      </c>
      <c r="B20" s="9" t="n">
        <f aca="false">B12</f>
        <v>5</v>
      </c>
    </row>
    <row r="21" customFormat="false" ht="15" hidden="false" customHeight="false" outlineLevel="0" collapsed="false">
      <c r="A21" s="10" t="s">
        <v>18</v>
      </c>
      <c r="B21" s="11" t="n">
        <f aca="false">B17+B18+B19+B20</f>
        <v>11.10275</v>
      </c>
    </row>
    <row r="22" customFormat="false" ht="15" hidden="false" customHeight="false" outlineLevel="0" collapsed="false">
      <c r="A22" s="10" t="s">
        <v>19</v>
      </c>
      <c r="B22" s="11" t="n">
        <f aca="false">IFERROR(B21/(1-B13),0)</f>
        <v>18.5045833333333</v>
      </c>
    </row>
    <row r="23" customFormat="false" ht="15" hidden="false" customHeight="false" outlineLevel="0" collapsed="false">
      <c r="A23" s="4" t="s">
        <v>20</v>
      </c>
      <c r="B23" s="9" t="n">
        <f aca="false">B22-B14</f>
        <v>-26.4954166666667</v>
      </c>
    </row>
    <row r="24" customFormat="false" ht="15" hidden="false" customHeight="false" outlineLevel="0" collapsed="false">
      <c r="A24" s="10" t="s">
        <v>21</v>
      </c>
      <c r="B24" s="10" t="str">
        <f aca="false">IF(B22&lt;=B14,"Preço competitivo em relação ao mercado","Acima do mercado, revisar custo ou margem")</f>
        <v>Preço competitivo em relação ao mercado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13" min="5" style="0" width="14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A5" s="12" t="s">
        <v>25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2" t="s">
        <v>31</v>
      </c>
      <c r="H5" s="12" t="s">
        <v>32</v>
      </c>
      <c r="I5" s="12" t="s">
        <v>33</v>
      </c>
      <c r="J5" s="12" t="s">
        <v>34</v>
      </c>
      <c r="K5" s="12" t="s">
        <v>35</v>
      </c>
      <c r="L5" s="12" t="s">
        <v>36</v>
      </c>
      <c r="M5" s="12" t="s">
        <v>37</v>
      </c>
      <c r="N5" s="12" t="s">
        <v>21</v>
      </c>
    </row>
    <row r="6" customFormat="false" ht="15" hidden="false" customHeight="false" outlineLevel="0" collapsed="false">
      <c r="A6" s="13" t="s">
        <v>38</v>
      </c>
      <c r="B6" s="14" t="n">
        <v>15</v>
      </c>
      <c r="C6" s="15" t="n">
        <v>89.9</v>
      </c>
      <c r="D6" s="16" t="n">
        <v>0.5</v>
      </c>
      <c r="E6" s="17" t="n">
        <f aca="false">B6/1000*C6</f>
        <v>1.3485</v>
      </c>
      <c r="F6" s="17" t="n">
        <f aca="false">D6*0.15*0.75</f>
        <v>0.05625</v>
      </c>
      <c r="G6" s="17" t="n">
        <f aca="false">(1800/5000)*D6</f>
        <v>0.18</v>
      </c>
      <c r="H6" s="15" t="n">
        <v>3</v>
      </c>
      <c r="I6" s="18" t="n">
        <f aca="false">E6+F6+G6+H6</f>
        <v>4.58475</v>
      </c>
      <c r="J6" s="19" t="n">
        <v>0.4</v>
      </c>
      <c r="K6" s="18" t="n">
        <f aca="false">IFERROR(I6/(1-J6),0)</f>
        <v>7.64125</v>
      </c>
      <c r="L6" s="15" t="n">
        <v>25</v>
      </c>
      <c r="M6" s="17" t="n">
        <f aca="false">K6-L6</f>
        <v>-17.35875</v>
      </c>
      <c r="N6" s="13" t="str">
        <f aca="false">IF(K6&lt;=L6,"Competitivo","Revisar custo/margem")</f>
        <v>Competitivo</v>
      </c>
    </row>
    <row r="7" customFormat="false" ht="15" hidden="false" customHeight="false" outlineLevel="0" collapsed="false">
      <c r="A7" s="13" t="s">
        <v>39</v>
      </c>
      <c r="B7" s="14" t="n">
        <v>1000</v>
      </c>
      <c r="C7" s="15" t="n">
        <v>89.9</v>
      </c>
      <c r="D7" s="16" t="n">
        <v>30</v>
      </c>
      <c r="E7" s="17" t="n">
        <f aca="false">B7/1000*C7</f>
        <v>89.9</v>
      </c>
      <c r="F7" s="17" t="n">
        <f aca="false">D7*0.15*0.75</f>
        <v>3.375</v>
      </c>
      <c r="G7" s="17" t="n">
        <f aca="false">(1800/5000)*D7</f>
        <v>10.8</v>
      </c>
      <c r="H7" s="15" t="n">
        <v>120</v>
      </c>
      <c r="I7" s="18" t="n">
        <f aca="false">E7+F7+G7+H7</f>
        <v>224.075</v>
      </c>
      <c r="J7" s="19" t="n">
        <v>0.35</v>
      </c>
      <c r="K7" s="18" t="n">
        <f aca="false">IFERROR(I7/(1-J7),0)</f>
        <v>344.730769230769</v>
      </c>
      <c r="L7" s="15" t="n">
        <v>950</v>
      </c>
      <c r="M7" s="17" t="n">
        <f aca="false">K7-L7</f>
        <v>-605.269230769231</v>
      </c>
      <c r="N7" s="13" t="str">
        <f aca="false">IF(K7&lt;=L7,"Competitivo","Revisar custo/margem")</f>
        <v>Competitivo</v>
      </c>
    </row>
    <row r="8" customFormat="false" ht="15" hidden="false" customHeight="false" outlineLevel="0" collapsed="false">
      <c r="A8" s="13" t="s">
        <v>40</v>
      </c>
      <c r="B8" s="14" t="n">
        <v>180</v>
      </c>
      <c r="C8" s="15" t="n">
        <v>89.9</v>
      </c>
      <c r="D8" s="16" t="n">
        <v>5</v>
      </c>
      <c r="E8" s="17" t="n">
        <f aca="false">B8/1000*C8</f>
        <v>16.182</v>
      </c>
      <c r="F8" s="17" t="n">
        <f aca="false">D8*0.15*0.75</f>
        <v>0.5625</v>
      </c>
      <c r="G8" s="17" t="n">
        <f aca="false">(1800/5000)*D8</f>
        <v>1.8</v>
      </c>
      <c r="H8" s="15" t="n">
        <v>15</v>
      </c>
      <c r="I8" s="18" t="n">
        <f aca="false">E8+F8+G8+H8</f>
        <v>33.5445</v>
      </c>
      <c r="J8" s="19" t="n">
        <v>0.4</v>
      </c>
      <c r="K8" s="18" t="n">
        <f aca="false">IFERROR(I8/(1-J8),0)</f>
        <v>55.9075</v>
      </c>
      <c r="L8" s="15" t="n">
        <v>89.9</v>
      </c>
      <c r="M8" s="17" t="n">
        <f aca="false">K8-L8</f>
        <v>-33.9925</v>
      </c>
      <c r="N8" s="13" t="str">
        <f aca="false">IF(K8&lt;=L8,"Competitivo","Revisar custo/margem")</f>
        <v>Competitivo</v>
      </c>
    </row>
    <row r="9" customFormat="false" ht="15" hidden="false" customHeight="false" outlineLevel="0" collapsed="false">
      <c r="A9" s="13" t="s">
        <v>41</v>
      </c>
      <c r="B9" s="14" t="n">
        <v>60</v>
      </c>
      <c r="C9" s="15" t="n">
        <v>89.9</v>
      </c>
      <c r="D9" s="16" t="n">
        <v>1.5</v>
      </c>
      <c r="E9" s="17" t="n">
        <f aca="false">B9/1000*C9</f>
        <v>5.394</v>
      </c>
      <c r="F9" s="17" t="n">
        <f aca="false">D9*0.15*0.75</f>
        <v>0.16875</v>
      </c>
      <c r="G9" s="17" t="n">
        <f aca="false">(1800/5000)*D9</f>
        <v>0.54</v>
      </c>
      <c r="H9" s="15" t="n">
        <v>5</v>
      </c>
      <c r="I9" s="18" t="n">
        <f aca="false">E9+F9+G9+H9</f>
        <v>11.10275</v>
      </c>
      <c r="J9" s="19" t="n">
        <v>0.4</v>
      </c>
      <c r="K9" s="18" t="n">
        <f aca="false">IFERROR(I9/(1-J9),0)</f>
        <v>18.5045833333333</v>
      </c>
      <c r="L9" s="15" t="n">
        <v>45</v>
      </c>
      <c r="M9" s="17" t="n">
        <f aca="false">K9-L9</f>
        <v>-26.4954166666667</v>
      </c>
      <c r="N9" s="13" t="str">
        <f aca="false">IF(K9&lt;=L9,"Competitivo","Revisar custo/margem")</f>
        <v>Competitivo</v>
      </c>
    </row>
    <row r="10" customFormat="false" ht="15" hidden="false" customHeight="false" outlineLevel="0" collapsed="false">
      <c r="A10" s="13" t="s">
        <v>42</v>
      </c>
      <c r="B10" s="14" t="n">
        <v>800</v>
      </c>
      <c r="C10" s="15" t="n">
        <v>89.9</v>
      </c>
      <c r="D10" s="16" t="n">
        <v>10</v>
      </c>
      <c r="E10" s="17" t="n">
        <f aca="false">B10/1000*C10</f>
        <v>71.92</v>
      </c>
      <c r="F10" s="17" t="n">
        <f aca="false">D10*0.15*0.75</f>
        <v>1.125</v>
      </c>
      <c r="G10" s="17" t="n">
        <f aca="false">(1800/5000)*D10</f>
        <v>3.6</v>
      </c>
      <c r="H10" s="15" t="n">
        <v>40</v>
      </c>
      <c r="I10" s="18" t="n">
        <f aca="false">E10+F10+G10+H10</f>
        <v>116.645</v>
      </c>
      <c r="J10" s="19" t="n">
        <v>0.35</v>
      </c>
      <c r="K10" s="18" t="n">
        <f aca="false">IFERROR(I10/(1-J10),0)</f>
        <v>179.453846153846</v>
      </c>
      <c r="L10" s="15" t="n">
        <v>320</v>
      </c>
      <c r="M10" s="17" t="n">
        <f aca="false">K10-L10</f>
        <v>-140.546153846154</v>
      </c>
      <c r="N10" s="13" t="str">
        <f aca="false">IF(K10&lt;=L10,"Competitivo","Revisar custo/margem")</f>
        <v>Competitivo</v>
      </c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2026-08-17T23:55:53Z</dcterms:created>
  <dc:creator>openpyxl</dc:creator>
  <dc:description/>
  <dc:language>en-US</dc:language>
  <cp:lastModifiedBy/>
  <dcterms:modified xsi:type="dcterms:W3CDTF">2026-08-17T23:55:53Z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