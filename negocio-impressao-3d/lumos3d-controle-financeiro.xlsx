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  <sheet name="Despesas" sheetId="2" state="visible" r:id="rId4"/>
    <sheet name="Fluxo de caixa" sheetId="3" state="visible" r:id="rId5"/>
    <sheet name="Indicado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<sst xmlns="http://schemas.openxmlformats.org/spreadsheetml/2006/main" count="53" uniqueCount="48">
  <si>
    <t xml:space="preserve">Lumos 3D — Controle de Vendas</t>
  </si>
  <si>
    <t xml:space="preserve">Preencha uma linha por venda. Datas em azul e campos de texto/valor em azul são para você editar.</t>
  </si>
  <si>
    <t xml:space="preserve">Data</t>
  </si>
  <si>
    <t xml:space="preserve">Produto</t>
  </si>
  <si>
    <t xml:space="preserve">Valor</t>
  </si>
  <si>
    <t xml:space="preserve">Forma de pagamento</t>
  </si>
  <si>
    <t xml:space="preserve">Cliente</t>
  </si>
  <si>
    <t xml:space="preserve">Chaveiro personalizado (unidade)</t>
  </si>
  <si>
    <t xml:space="preserve">Pix</t>
  </si>
  <si>
    <t xml:space="preserve">Maria Souza</t>
  </si>
  <si>
    <t xml:space="preserve">Kit brinde corporativo (50 un)</t>
  </si>
  <si>
    <t xml:space="preserve">Cartão de crédito</t>
  </si>
  <si>
    <t xml:space="preserve">Empresa ABC Ltda</t>
  </si>
  <si>
    <t xml:space="preserve">Luminária com nome</t>
  </si>
  <si>
    <t xml:space="preserve">João Pereira</t>
  </si>
  <si>
    <t xml:space="preserve">Porta retrato personalizado</t>
  </si>
  <si>
    <t xml:space="preserve">Boleto</t>
  </si>
  <si>
    <t xml:space="preserve">Ana Lima</t>
  </si>
  <si>
    <t xml:space="preserve">Troféu personalizado (10 un)</t>
  </si>
  <si>
    <t xml:space="preserve">Empresa XYZ Eventos</t>
  </si>
  <si>
    <t xml:space="preserve">Lumos 3D — Controle de Despesas</t>
  </si>
  <si>
    <t xml:space="preserve">Preencha uma linha por despesa. Datas e valores em azul são para você editar.</t>
  </si>
  <si>
    <t xml:space="preserve">Categoria</t>
  </si>
  <si>
    <t xml:space="preserve">Fornecedor</t>
  </si>
  <si>
    <t xml:space="preserve">Matéria-prima (filamento)</t>
  </si>
  <si>
    <t xml:space="preserve">Fornecedor Filamentos BR</t>
  </si>
  <si>
    <t xml:space="preserve">Energia elétrica</t>
  </si>
  <si>
    <t xml:space="preserve">Companhia de Energia</t>
  </si>
  <si>
    <t xml:space="preserve">Embalagem</t>
  </si>
  <si>
    <t xml:space="preserve">Papelaria Kraft</t>
  </si>
  <si>
    <t xml:space="preserve">Marketing (impulsionamento)</t>
  </si>
  <si>
    <t xml:space="preserve">Meta Ads</t>
  </si>
  <si>
    <t xml:space="preserve">Manutenção de equipamento</t>
  </si>
  <si>
    <t xml:space="preserve">Assistência Técnica 3D</t>
  </si>
  <si>
    <t xml:space="preserve">Lumos 3D — Fluxo de Caixa</t>
  </si>
  <si>
    <t xml:space="preserve">Entradas e saídas são calculadas automaticamente a partir das abas Vendas e Despesas, por data. Adicione novas linhas de data conforme o mês avança.</t>
  </si>
  <si>
    <t xml:space="preserve">Entradas</t>
  </si>
  <si>
    <t xml:space="preserve">Saídas</t>
  </si>
  <si>
    <t xml:space="preserve">Saldo</t>
  </si>
  <si>
    <t xml:space="preserve">Lumos 3D — Indicadores</t>
  </si>
  <si>
    <t xml:space="preserve">Calculado automaticamente a partir das abas Vendas e Despesas. Duplique a linha do mês para acompanhar os meses seguintes, ajustando as datas em azul.</t>
  </si>
  <si>
    <t xml:space="preserve">Mês</t>
  </si>
  <si>
    <t xml:space="preserve">Faturamento</t>
  </si>
  <si>
    <t xml:space="preserve">Despesas</t>
  </si>
  <si>
    <t xml:space="preserve">Ticket médio</t>
  </si>
  <si>
    <t xml:space="preserve">Margem</t>
  </si>
  <si>
    <t xml:space="preserve">Agosto/2026</t>
  </si>
  <si>
    <t xml:space="preserve">Número de vendas no mês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</si>
</sst>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R$ &quot;#,##0.00"/>
    <numFmt numFmtId="167" formatCode="0.0%"/>
    <numFmt numFmtId="168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1B4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D1B4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1B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46237</v>
      </c>
      <c r="B5" s="5" t="s">
        <v>7</v>
      </c>
      <c r="C5" s="6" t="n">
        <v>25</v>
      </c>
      <c r="D5" s="5" t="s">
        <v>8</v>
      </c>
      <c r="E5" s="5" t="s">
        <v>9</v>
      </c>
    </row>
    <row r="6" customFormat="false" ht="15" hidden="false" customHeight="false" outlineLevel="0" collapsed="false">
      <c r="A6" s="4" t="n">
        <v>46239</v>
      </c>
      <c r="B6" s="5" t="s">
        <v>10</v>
      </c>
      <c r="C6" s="6" t="n">
        <v>950</v>
      </c>
      <c r="D6" s="5" t="s">
        <v>11</v>
      </c>
      <c r="E6" s="5" t="s">
        <v>12</v>
      </c>
    </row>
    <row r="7" customFormat="false" ht="15" hidden="false" customHeight="false" outlineLevel="0" collapsed="false">
      <c r="A7" s="4" t="n">
        <v>46242</v>
      </c>
      <c r="B7" s="5" t="s">
        <v>13</v>
      </c>
      <c r="C7" s="6" t="n">
        <v>89.9</v>
      </c>
      <c r="D7" s="5" t="s">
        <v>8</v>
      </c>
      <c r="E7" s="5" t="s">
        <v>14</v>
      </c>
    </row>
    <row r="8" customFormat="false" ht="15" hidden="false" customHeight="false" outlineLevel="0" collapsed="false">
      <c r="A8" s="4" t="n">
        <v>46246</v>
      </c>
      <c r="B8" s="5" t="s">
        <v>15</v>
      </c>
      <c r="C8" s="6" t="n">
        <v>45</v>
      </c>
      <c r="D8" s="5" t="s">
        <v>16</v>
      </c>
      <c r="E8" s="5" t="s">
        <v>17</v>
      </c>
    </row>
    <row r="9" customFormat="false" ht="15" hidden="false" customHeight="false" outlineLevel="0" collapsed="false">
      <c r="A9" s="4" t="n">
        <v>46249</v>
      </c>
      <c r="B9" s="5" t="s">
        <v>18</v>
      </c>
      <c r="C9" s="6" t="n">
        <v>320</v>
      </c>
      <c r="D9" s="5" t="s">
        <v>8</v>
      </c>
      <c r="E9" s="5" t="s">
        <v>19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20</v>
      </c>
      <c r="B1" s="1"/>
      <c r="C1" s="1"/>
      <c r="D1" s="1"/>
    </row>
    <row r="2" customFormat="false" ht="15" hidden="false" customHeight="false" outlineLevel="0" collapsed="false">
      <c r="A2" s="2" t="s">
        <v>21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22</v>
      </c>
      <c r="C4" s="3" t="s">
        <v>4</v>
      </c>
      <c r="D4" s="3" t="s">
        <v>23</v>
      </c>
    </row>
    <row r="5" customFormat="false" ht="15" hidden="false" customHeight="false" outlineLevel="0" collapsed="false">
      <c r="A5" s="4" t="n">
        <v>46235</v>
      </c>
      <c r="B5" s="5" t="s">
        <v>24</v>
      </c>
      <c r="C5" s="6" t="n">
        <v>480</v>
      </c>
      <c r="D5" s="5" t="s">
        <v>25</v>
      </c>
    </row>
    <row r="6" customFormat="false" ht="15" hidden="false" customHeight="false" outlineLevel="0" collapsed="false">
      <c r="A6" s="4" t="n">
        <v>46238</v>
      </c>
      <c r="B6" s="5" t="s">
        <v>26</v>
      </c>
      <c r="C6" s="6" t="n">
        <v>210</v>
      </c>
      <c r="D6" s="5" t="s">
        <v>27</v>
      </c>
    </row>
    <row r="7" customFormat="false" ht="15" hidden="false" customHeight="false" outlineLevel="0" collapsed="false">
      <c r="A7" s="4" t="n">
        <v>46240</v>
      </c>
      <c r="B7" s="5" t="s">
        <v>28</v>
      </c>
      <c r="C7" s="6" t="n">
        <v>95</v>
      </c>
      <c r="D7" s="5" t="s">
        <v>29</v>
      </c>
    </row>
    <row r="8" customFormat="false" ht="15" hidden="false" customHeight="false" outlineLevel="0" collapsed="false">
      <c r="A8" s="4" t="n">
        <v>46244</v>
      </c>
      <c r="B8" s="5" t="s">
        <v>30</v>
      </c>
      <c r="C8" s="6" t="n">
        <v>150</v>
      </c>
      <c r="D8" s="5" t="s">
        <v>31</v>
      </c>
    </row>
    <row r="9" customFormat="false" ht="15" hidden="false" customHeight="false" outlineLevel="0" collapsed="false">
      <c r="A9" s="4" t="n">
        <v>46249</v>
      </c>
      <c r="B9" s="5" t="s">
        <v>32</v>
      </c>
      <c r="C9" s="6" t="n">
        <v>120</v>
      </c>
      <c r="D9" s="5" t="s">
        <v>33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34</v>
      </c>
      <c r="B1" s="1"/>
      <c r="C1" s="1"/>
      <c r="D1" s="1"/>
    </row>
    <row r="2" customFormat="false" ht="15" hidden="false" customHeight="false" outlineLevel="0" collapsed="false">
      <c r="A2" s="2" t="s">
        <v>35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36</v>
      </c>
      <c r="C4" s="3" t="s">
        <v>37</v>
      </c>
      <c r="D4" s="3" t="s">
        <v>38</v>
      </c>
    </row>
    <row r="5" customFormat="false" ht="15" hidden="false" customHeight="false" outlineLevel="0" collapsed="false">
      <c r="A5" s="4" t="n">
        <v>46235</v>
      </c>
      <c r="B5" s="7" t="n">
        <f aca="false">SUMIFS(Vendas!$C$5:$C$9,Vendas!$A$5:$A$9,A5)</f>
        <v>0</v>
      </c>
      <c r="C5" s="7" t="n">
        <f aca="false">SUMIFS(Despesas!$C$5:$C$9,Despesas!$A$5:$A$9,A5)</f>
        <v>480</v>
      </c>
      <c r="D5" s="7" t="n">
        <f aca="false">B5-C5</f>
        <v>-480</v>
      </c>
    </row>
    <row r="6" customFormat="false" ht="15" hidden="false" customHeight="false" outlineLevel="0" collapsed="false">
      <c r="A6" s="4" t="n">
        <v>46237</v>
      </c>
      <c r="B6" s="7" t="n">
        <f aca="false">SUMIFS(Vendas!$C$5:$C$9,Vendas!$A$5:$A$9,A6)</f>
        <v>25</v>
      </c>
      <c r="C6" s="7" t="n">
        <f aca="false">SUMIFS(Despesas!$C$5:$C$9,Despesas!$A$5:$A$9,A6)</f>
        <v>0</v>
      </c>
      <c r="D6" s="7" t="n">
        <f aca="false">D5+B6-C6</f>
        <v>-455</v>
      </c>
    </row>
    <row r="7" customFormat="false" ht="15" hidden="false" customHeight="false" outlineLevel="0" collapsed="false">
      <c r="A7" s="4" t="n">
        <v>46238</v>
      </c>
      <c r="B7" s="7" t="n">
        <f aca="false">SUMIFS(Vendas!$C$5:$C$9,Vendas!$A$5:$A$9,A7)</f>
        <v>0</v>
      </c>
      <c r="C7" s="7" t="n">
        <f aca="false">SUMIFS(Despesas!$C$5:$C$9,Despesas!$A$5:$A$9,A7)</f>
        <v>210</v>
      </c>
      <c r="D7" s="7" t="n">
        <f aca="false">D6+B7-C7</f>
        <v>-665</v>
      </c>
    </row>
    <row r="8" customFormat="false" ht="15" hidden="false" customHeight="false" outlineLevel="0" collapsed="false">
      <c r="A8" s="4" t="n">
        <v>46239</v>
      </c>
      <c r="B8" s="7" t="n">
        <f aca="false">SUMIFS(Vendas!$C$5:$C$9,Vendas!$A$5:$A$9,A8)</f>
        <v>950</v>
      </c>
      <c r="C8" s="7" t="n">
        <f aca="false">SUMIFS(Despesas!$C$5:$C$9,Despesas!$A$5:$A$9,A8)</f>
        <v>0</v>
      </c>
      <c r="D8" s="7" t="n">
        <f aca="false">D7+B8-C8</f>
        <v>285</v>
      </c>
    </row>
    <row r="9" customFormat="false" ht="15" hidden="false" customHeight="false" outlineLevel="0" collapsed="false">
      <c r="A9" s="4" t="n">
        <v>46240</v>
      </c>
      <c r="B9" s="7" t="n">
        <f aca="false">SUMIFS(Vendas!$C$5:$C$9,Vendas!$A$5:$A$9,A9)</f>
        <v>0</v>
      </c>
      <c r="C9" s="7" t="n">
        <f aca="false">SUMIFS(Despesas!$C$5:$C$9,Despesas!$A$5:$A$9,A9)</f>
        <v>95</v>
      </c>
      <c r="D9" s="7" t="n">
        <f aca="false">D8+B9-C9</f>
        <v>190</v>
      </c>
    </row>
    <row r="10" customFormat="false" ht="15" hidden="false" customHeight="false" outlineLevel="0" collapsed="false">
      <c r="A10" s="4" t="n">
        <v>46242</v>
      </c>
      <c r="B10" s="7" t="n">
        <f aca="false">SUMIFS(Vendas!$C$5:$C$9,Vendas!$A$5:$A$9,A10)</f>
        <v>89.9</v>
      </c>
      <c r="C10" s="7" t="n">
        <f aca="false">SUMIFS(Despesas!$C$5:$C$9,Despesas!$A$5:$A$9,A10)</f>
        <v>0</v>
      </c>
      <c r="D10" s="7" t="n">
        <f aca="false">D9+B10-C10</f>
        <v>279.9</v>
      </c>
    </row>
    <row r="11" customFormat="false" ht="15" hidden="false" customHeight="false" outlineLevel="0" collapsed="false">
      <c r="A11" s="4" t="n">
        <v>46244</v>
      </c>
      <c r="B11" s="7" t="n">
        <f aca="false">SUMIFS(Vendas!$C$5:$C$9,Vendas!$A$5:$A$9,A11)</f>
        <v>0</v>
      </c>
      <c r="C11" s="7" t="n">
        <f aca="false">SUMIFS(Despesas!$C$5:$C$9,Despesas!$A$5:$A$9,A11)</f>
        <v>150</v>
      </c>
      <c r="D11" s="7" t="n">
        <f aca="false">D10+B11-C11</f>
        <v>129.9</v>
      </c>
    </row>
    <row r="12" customFormat="false" ht="15" hidden="false" customHeight="false" outlineLevel="0" collapsed="false">
      <c r="A12" s="4" t="n">
        <v>46246</v>
      </c>
      <c r="B12" s="7" t="n">
        <f aca="false">SUMIFS(Vendas!$C$5:$C$9,Vendas!$A$5:$A$9,A12)</f>
        <v>45</v>
      </c>
      <c r="C12" s="7" t="n">
        <f aca="false">SUMIFS(Despesas!$C$5:$C$9,Despesas!$A$5:$A$9,A12)</f>
        <v>0</v>
      </c>
      <c r="D12" s="7" t="n">
        <f aca="false">D11+B12-C12</f>
        <v>174.9</v>
      </c>
    </row>
    <row r="13" customFormat="false" ht="15" hidden="false" customHeight="false" outlineLevel="0" collapsed="false">
      <c r="A13" s="4" t="n">
        <v>46249</v>
      </c>
      <c r="B13" s="7" t="n">
        <f aca="false">SUMIFS(Vendas!$C$5:$C$9,Vendas!$A$5:$A$9,A13)</f>
        <v>320</v>
      </c>
      <c r="C13" s="7" t="n">
        <f aca="false">SUMIFS(Despesas!$C$5:$C$9,Despesas!$A$5:$A$9,A13)</f>
        <v>120</v>
      </c>
      <c r="D13" s="7" t="n">
        <f aca="false">D12+B13-C13</f>
        <v>374.9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39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40</v>
      </c>
      <c r="B2" s="2"/>
      <c r="C2" s="2"/>
      <c r="D2" s="2"/>
      <c r="E2" s="2"/>
    </row>
    <row r="4" customFormat="false" ht="15" hidden="false" customHeight="false" outlineLevel="0" collapsed="false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</row>
    <row r="5" customFormat="false" ht="15" hidden="false" customHeight="false" outlineLevel="0" collapsed="false">
      <c r="A5" s="8" t="s">
        <v>46</v>
      </c>
      <c r="B5" s="7" t="n">
        <f aca="false">SUMIFS(Vendas!$C$5:$C$9,Vendas!$A$5:$A$9,"&gt;="&amp;DATE(2026,8,1),Vendas!$A$5:$A$9,"&lt;"&amp;DATE(2026,9,1))</f>
        <v>1429.9</v>
      </c>
      <c r="C5" s="7" t="n">
        <f aca="false">SUMIFS(Despesas!$C$5:$C$9,Despesas!$A$5:$A$9,"&gt;="&amp;DATE(2026,8,1),Despesas!$A$5:$A$9,"&lt;"&amp;DATE(2026,9,1))</f>
        <v>1055</v>
      </c>
      <c r="D5" s="7" t="n">
        <f aca="false">IFERROR(B5/COUNTIFS(Vendas!$A$5:$A$9,"&gt;="&amp;DATE(2026,8,1),Vendas!$A$5:$A$9,"&lt;"&amp;DATE(2026,9,1)),0)</f>
        <v>285.98</v>
      </c>
      <c r="E5" s="9" t="n">
        <f aca="false">IFERROR((B5-C5)/B5,0)</f>
        <v>0.262186166864816</v>
      </c>
    </row>
    <row r="7" customFormat="false" ht="15" hidden="false" customHeight="false" outlineLevel="0" collapsed="false">
      <c r="A7" s="10" t="s">
        <v>47</v>
      </c>
      <c r="B7" s="11" t="n">
        <f aca="false">COUNTIFS(Vendas!$A$5:$A$9,"&gt;="&amp;DATE(2026,8,1),Vendas!$A$5:$A$9,"&lt;"&amp;DATE(2026,9,1))</f>
        <v>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2026-08-17T19:30:06Z</dcterms:created>
  <dc:creator>openpyxl</dc:creator>
  <dc:description/>
  <dc:language>en-US</dc:language>
  <cp:lastModifiedBy/>
  <dcterms:modified xsi:type="dcterms:W3CDTF">2026-08-17T19:30:06Z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