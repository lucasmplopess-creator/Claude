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necedores" sheetId="1" state="visible" r:id="rId3"/>
    <sheet name="Pedidos" sheetId="2" state="visible" r:id="rId4"/>
    <sheet name="Previsão de reposiçã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<sst xmlns="http://schemas.openxmlformats.org/spreadsheetml/2006/main" count="52" uniqueCount="51">
  <si>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Lumos 3D — Fornecedores</t>
  </si>
  <si>
    <t xml:space="preserve">Cadastro dos fornecedores usados na produção. Preencha uma linha por fornecedor.</t>
  </si>
  <si>
    <t xml:space="preserve">Nome</t>
  </si>
  <si>
    <t xml:space="preserve">Contato</t>
  </si>
  <si>
    <t xml:space="preserve">Prazo de entrega</t>
  </si>
  <si>
    <t xml:space="preserve">Forma de pagamento</t>
  </si>
  <si>
    <t xml:space="preserve">Fornecedor Filamentos BR</t>
  </si>
  <si>
    <t xml:space="preserve">(19) 99123-4567 / vendas@filamentosbr.com.br</t>
  </si>
  <si>
    <t xml:space="preserve">3 dias úteis</t>
  </si>
  <si>
    <t xml:space="preserve">Pix ou boleto</t>
  </si>
  <si>
    <t xml:space="preserve">Papelaria Kraft</t>
  </si>
  <si>
    <t xml:space="preserve">(19) 98877-1122 / contato@papelariakraft.com.br</t>
  </si>
  <si>
    <t xml:space="preserve">2 dias úteis</t>
  </si>
  <si>
    <t xml:space="preserve">Pix</t>
  </si>
  <si>
    <t xml:space="preserve">Assistência Técnica 3D</t>
  </si>
  <si>
    <t xml:space="preserve">(19) 99555-8899 / suporte@assistencia3d.com.br</t>
  </si>
  <si>
    <t xml:space="preserve">1 dia útil (local)</t>
  </si>
  <si>
    <t xml:space="preserve">Pix ou dinheiro</t>
  </si>
  <si>
    <t xml:space="preserve">Ferramentaria Bicos e Peças</t>
  </si>
  <si>
    <t xml:space="preserve">(19) 98222-3344 / vendas@bicosepecas.com.br</t>
  </si>
  <si>
    <t xml:space="preserve">5 dias úteis</t>
  </si>
  <si>
    <t xml:space="preserve">Cartão de crédito</t>
  </si>
  <si>
    <t xml:space="preserve">Lumos 3D — Pedidos de Compra</t>
  </si>
  <si>
    <t xml:space="preserve">Preencha uma linha por pedido feito a um fornecedor. Atualize o Status conforme o pedido avança.</t>
  </si>
  <si>
    <t xml:space="preserve">Data</t>
  </si>
  <si>
    <t xml:space="preserve">Item</t>
  </si>
  <si>
    <t xml:space="preserve">Quantidade</t>
  </si>
  <si>
    <t xml:space="preserve">Valor</t>
  </si>
  <si>
    <t xml:space="preserve">Status</t>
  </si>
  <si>
    <t xml:space="preserve">Embalagens kraft (pacote 100 un)</t>
  </si>
  <si>
    <t xml:space="preserve">Entregue</t>
  </si>
  <si>
    <t xml:space="preserve">PLA Dourado 1kg</t>
  </si>
  <si>
    <t xml:space="preserve">PETG Cinza 1kg</t>
  </si>
  <si>
    <t xml:space="preserve">Aguardando entrega</t>
  </si>
  <si>
    <t xml:space="preserve">Bico 0.4mm (kit reposição)</t>
  </si>
  <si>
    <t xml:space="preserve">Pedido enviado</t>
  </si>
  <si>
    <t xml:space="preserve">Lumos 3D — Previsão de Reposição</t>
  </si>
  <si>
    <t xml:space="preserve">Copie o Estoque atual e o Ponto de reposição da aba Matéria-prima da planilha lumos3d-controle-estoque.xlsx sempre que fizer a contagem. Preencha também o Consumo médio mensal com base no seu histórico de produção. Os demais campos são calculados.</t>
  </si>
  <si>
    <t xml:space="preserve">Sugestão de compra considera repor o suficiente para 2 meses de consumo médio.</t>
  </si>
  <si>
    <t xml:space="preserve">Material</t>
  </si>
  <si>
    <t xml:space="preserve">Estoque atual (g)</t>
  </si>
  <si>
    <t xml:space="preserve">Consumo médio mensal (g)</t>
  </si>
  <si>
    <t xml:space="preserve">Dias restantes</t>
  </si>
  <si>
    <t xml:space="preserve">Data prevista para repor</t>
  </si>
  <si>
    <t xml:space="preserve">Quantidade sugerida (kg)</t>
  </si>
  <si>
    <t xml:space="preserve">Alerta</t>
  </si>
  <si>
    <t xml:space="preserve">PLA Branco</t>
  </si>
  <si>
    <t xml:space="preserve">PLA Preto</t>
  </si>
  <si>
    <t xml:space="preserve">PLA Dourado</t>
  </si>
  <si>
    <t xml:space="preserve">PETG Transparente</t>
  </si>
  <si>
    <t xml:space="preserve">PETG Cinza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</si>
</sst>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R$ &quot;#,##0.00"/>
    <numFmt numFmtId="167" formatCode="#,##0&quot; g&quot;"/>
    <numFmt numFmtId="168" formatCode="0&quot; dias&quot;"/>
    <numFmt numFmtId="169" formatCode="0.0&quot; kg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1B4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1B4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1B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4" min="3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</row>
    <row r="5" customFormat="false" ht="15" hidden="false" customHeight="false" outlineLevel="0" collapsed="false">
      <c r="A5" s="5" t="n">
        <v>46239</v>
      </c>
      <c r="B5" s="4" t="s">
        <v>29</v>
      </c>
      <c r="C5" s="4" t="n">
        <v>2</v>
      </c>
      <c r="D5" s="6" t="n">
        <v>180</v>
      </c>
      <c r="E5" s="4" t="s">
        <v>30</v>
      </c>
    </row>
    <row r="6" customFormat="false" ht="15" hidden="false" customHeight="false" outlineLevel="0" collapsed="false">
      <c r="A6" s="5" t="n">
        <v>46244</v>
      </c>
      <c r="B6" s="4" t="s">
        <v>31</v>
      </c>
      <c r="C6" s="4" t="n">
        <v>2</v>
      </c>
      <c r="D6" s="6" t="n">
        <v>199.8</v>
      </c>
      <c r="E6" s="4" t="s">
        <v>30</v>
      </c>
    </row>
    <row r="7" customFormat="false" ht="15" hidden="false" customHeight="false" outlineLevel="0" collapsed="false">
      <c r="A7" s="5" t="n">
        <v>46250</v>
      </c>
      <c r="B7" s="4" t="s">
        <v>32</v>
      </c>
      <c r="C7" s="4" t="n">
        <v>3</v>
      </c>
      <c r="D7" s="6" t="n">
        <v>329.7</v>
      </c>
      <c r="E7" s="4" t="s">
        <v>33</v>
      </c>
    </row>
    <row r="8" customFormat="false" ht="15" hidden="false" customHeight="false" outlineLevel="0" collapsed="false">
      <c r="A8" s="5" t="n">
        <v>46251</v>
      </c>
      <c r="B8" s="4" t="s">
        <v>34</v>
      </c>
      <c r="C8" s="4" t="n">
        <v>1</v>
      </c>
      <c r="D8" s="6" t="n">
        <v>45</v>
      </c>
      <c r="E8" s="4" t="s">
        <v>35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36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38</v>
      </c>
      <c r="B3" s="2"/>
      <c r="C3" s="2"/>
      <c r="D3" s="2"/>
      <c r="E3" s="2"/>
      <c r="F3" s="2"/>
      <c r="G3" s="2"/>
    </row>
    <row r="5" customFormat="false" ht="15" hidden="false" customHeight="false" outlineLevel="0" collapsed="false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</row>
    <row r="6" customFormat="false" ht="15" hidden="false" customHeight="false" outlineLevel="0" collapsed="false">
      <c r="A6" s="4" t="s">
        <v>46</v>
      </c>
      <c r="B6" s="7" t="n">
        <v>2500</v>
      </c>
      <c r="C6" s="7" t="n">
        <v>800</v>
      </c>
      <c r="D6" s="8" t="n">
        <f aca="false">IFERROR(B6/(C6/30),0)</f>
        <v>93.75</v>
      </c>
      <c r="E6" s="9" t="n">
        <f aca="true">TODAY()+D6</f>
        <v>46344.75</v>
      </c>
      <c r="F6" s="10" t="n">
        <f aca="false">ROUND(C6*2/1000,1)</f>
        <v>1.6</v>
      </c>
      <c r="G6" s="11" t="str">
        <f aca="false">IF(D6&lt;=15,"Comprar agora","OK")</f>
        <v>OK</v>
      </c>
    </row>
    <row r="7" customFormat="false" ht="15" hidden="false" customHeight="false" outlineLevel="0" collapsed="false">
      <c r="A7" s="4" t="s">
        <v>47</v>
      </c>
      <c r="B7" s="7" t="n">
        <v>1800</v>
      </c>
      <c r="C7" s="7" t="n">
        <v>600</v>
      </c>
      <c r="D7" s="8" t="n">
        <f aca="false">IFERROR(B7/(C7/30),0)</f>
        <v>90</v>
      </c>
      <c r="E7" s="9" t="n">
        <f aca="true">TODAY()+D7</f>
        <v>46341</v>
      </c>
      <c r="F7" s="10" t="n">
        <f aca="false">ROUND(C7*2/1000,1)</f>
        <v>1.2</v>
      </c>
      <c r="G7" s="11" t="str">
        <f aca="false">IF(D7&lt;=15,"Comprar agora","OK")</f>
        <v>OK</v>
      </c>
    </row>
    <row r="8" customFormat="false" ht="15" hidden="false" customHeight="false" outlineLevel="0" collapsed="false">
      <c r="A8" s="4" t="s">
        <v>48</v>
      </c>
      <c r="B8" s="7" t="n">
        <v>600</v>
      </c>
      <c r="C8" s="7" t="n">
        <v>250</v>
      </c>
      <c r="D8" s="8" t="n">
        <f aca="false">IFERROR(B8/(C8/30),0)</f>
        <v>72</v>
      </c>
      <c r="E8" s="9" t="n">
        <f aca="true">TODAY()+D8</f>
        <v>46323</v>
      </c>
      <c r="F8" s="10" t="n">
        <f aca="false">ROUND(C8*2/1000,1)</f>
        <v>0.5</v>
      </c>
      <c r="G8" s="11" t="str">
        <f aca="false">IF(D8&lt;=15,"Comprar agora","OK")</f>
        <v>OK</v>
      </c>
    </row>
    <row r="9" customFormat="false" ht="15" hidden="false" customHeight="false" outlineLevel="0" collapsed="false">
      <c r="A9" s="4" t="s">
        <v>49</v>
      </c>
      <c r="B9" s="7" t="n">
        <v>1200</v>
      </c>
      <c r="C9" s="7" t="n">
        <v>400</v>
      </c>
      <c r="D9" s="8" t="n">
        <f aca="false">IFERROR(B9/(C9/30),0)</f>
        <v>90</v>
      </c>
      <c r="E9" s="9" t="n">
        <f aca="true">TODAY()+D9</f>
        <v>46341</v>
      </c>
      <c r="F9" s="10" t="n">
        <f aca="false">ROUND(C9*2/1000,1)</f>
        <v>0.8</v>
      </c>
      <c r="G9" s="11" t="str">
        <f aca="false">IF(D9&lt;=15,"Comprar agora","OK")</f>
        <v>OK</v>
      </c>
    </row>
    <row r="10" customFormat="false" ht="15" hidden="false" customHeight="false" outlineLevel="0" collapsed="false">
      <c r="A10" s="4" t="s">
        <v>50</v>
      </c>
      <c r="B10" s="7" t="n">
        <v>300</v>
      </c>
      <c r="C10" s="7" t="n">
        <v>350</v>
      </c>
      <c r="D10" s="8" t="n">
        <f aca="false">IFERROR(B10/(C10/30),0)</f>
        <v>25.7142857142857</v>
      </c>
      <c r="E10" s="9" t="n">
        <f aca="true">TODAY()+D10</f>
        <v>46276.7142857143</v>
      </c>
      <c r="F10" s="10" t="n">
        <f aca="false">ROUND(C10*2/1000,1)</f>
        <v>0.7</v>
      </c>
      <c r="G10" s="11" t="str">
        <f aca="false">IF(D10&lt;=15,"Comprar agora","OK")</f>
        <v>OK</v>
      </c>
    </row>
  </sheetData>
  <mergeCells count="3">
    <mergeCell ref="A1:F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2026-08-17T19:48:23Z</dcterms:created>
  <dc:creator>openpyxl</dc:creator>
  <dc:description/>
  <dc:language>en-US</dc:language>
  <cp:lastModifiedBy/>
  <dcterms:modified xsi:type="dcterms:W3CDTF">2026-08-17T19:48:23Z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